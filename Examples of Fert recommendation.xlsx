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oil Testing\"/>
    </mc:Choice>
  </mc:AlternateContent>
  <bookViews>
    <workbookView xWindow="0" yWindow="0" windowWidth="21600" windowHeight="12040"/>
  </bookViews>
  <sheets>
    <sheet name="Exampl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09" i="1" l="1"/>
  <c r="N109" i="1"/>
  <c r="P103" i="1"/>
  <c r="O103" i="1"/>
  <c r="Q101" i="1"/>
  <c r="P101" i="1"/>
  <c r="I108" i="1" s="1"/>
  <c r="O101" i="1"/>
  <c r="O109" i="1" s="1"/>
  <c r="N101" i="1"/>
  <c r="N103" i="1" s="1"/>
  <c r="I107" i="1" s="1"/>
  <c r="J90" i="1"/>
  <c r="Q72" i="1"/>
  <c r="Q80" i="1" s="1"/>
  <c r="P72" i="1"/>
  <c r="P80" i="1" s="1"/>
  <c r="O72" i="1"/>
  <c r="O80" i="1" s="1"/>
  <c r="N72" i="1"/>
  <c r="N80" i="1" s="1"/>
  <c r="I70" i="1"/>
  <c r="J61" i="1"/>
  <c r="I60" i="1"/>
  <c r="P51" i="1"/>
  <c r="O51" i="1"/>
  <c r="N49" i="1"/>
  <c r="Q43" i="1"/>
  <c r="Q51" i="1" s="1"/>
  <c r="P43" i="1"/>
  <c r="O43" i="1"/>
  <c r="O45" i="1" s="1"/>
  <c r="N43" i="1"/>
  <c r="N51" i="1" s="1"/>
  <c r="N42" i="1"/>
  <c r="Q41" i="1"/>
  <c r="J33" i="1"/>
  <c r="I32" i="1"/>
  <c r="O23" i="1"/>
  <c r="N23" i="1"/>
  <c r="Q16" i="1"/>
  <c r="Q23" i="1" s="1"/>
  <c r="P16" i="1"/>
  <c r="P17" i="1" s="1"/>
  <c r="O16" i="1"/>
  <c r="O17" i="1" s="1"/>
  <c r="N16" i="1"/>
  <c r="N17" i="1" s="1"/>
  <c r="N45" i="1" l="1"/>
  <c r="P74" i="1"/>
  <c r="P23" i="1"/>
  <c r="N74" i="1"/>
  <c r="I78" i="1" s="1"/>
  <c r="P109" i="1"/>
  <c r="O74" i="1"/>
</calcChain>
</file>

<file path=xl/sharedStrings.xml><?xml version="1.0" encoding="utf-8"?>
<sst xmlns="http://schemas.openxmlformats.org/spreadsheetml/2006/main" count="169" uniqueCount="79">
  <si>
    <t>EXAMPLE 1:- Soil sample of South Telangana shows like this</t>
  </si>
  <si>
    <t>N-Medium,P-Low and K- High</t>
  </si>
  <si>
    <t xml:space="preserve">For Rabi Paddy normal recommendation is  N is 48 kg,  P is 24 Kg and K is 16 kg /acre </t>
  </si>
  <si>
    <t xml:space="preserve">Step 1 -For Rabi Paddy required nutrients as per soil test N is 48 kg,  P is 24+8=32 Kg and K is 16-5=11 kg /acre </t>
  </si>
  <si>
    <t xml:space="preserve">Step-2-  Suppose 28-28-0 is focus grade in that dt, Select that quantity. Here it is   114 Kg/acre(I;e 32 Kg). Here two </t>
  </si>
  <si>
    <t>can be recommended ,since the quantity is more.</t>
  </si>
  <si>
    <t>Recommended nutrients</t>
  </si>
  <si>
    <t>Available nutrients  in Kgs /acre</t>
  </si>
  <si>
    <t>Step-3</t>
  </si>
  <si>
    <t>Time of application</t>
  </si>
  <si>
    <t>Grade</t>
  </si>
  <si>
    <t>Qty</t>
  </si>
  <si>
    <t>N</t>
  </si>
  <si>
    <t>P</t>
  </si>
  <si>
    <t>K</t>
  </si>
  <si>
    <t>S</t>
  </si>
  <si>
    <t>Basal</t>
  </si>
  <si>
    <t>18--46-0</t>
  </si>
  <si>
    <t>50 Kg</t>
  </si>
  <si>
    <t>Urea</t>
  </si>
  <si>
    <t>15 Kg</t>
  </si>
  <si>
    <t>1st top dressing</t>
  </si>
  <si>
    <t>20-20-0</t>
  </si>
  <si>
    <t>10 Kg</t>
  </si>
  <si>
    <t>Total</t>
  </si>
  <si>
    <t>Balance in  reco</t>
  </si>
  <si>
    <t xml:space="preserve">To apply balance nutrients , go N table take intersection of 17 N and Urea(I;e 37)  and same way go to K table </t>
  </si>
  <si>
    <t>take the intersection of 13 K and MOP (I;e 21.7 ) in sheet one. Take nearest round of figures for the</t>
  </si>
  <si>
    <t>convineint of the farmer.</t>
  </si>
  <si>
    <t>2nd Top dressing (Panicle)</t>
  </si>
  <si>
    <t>45 Kg</t>
  </si>
  <si>
    <t>MOP</t>
  </si>
  <si>
    <t>20 Kg</t>
  </si>
  <si>
    <t xml:space="preserve">Total recommended finally </t>
  </si>
  <si>
    <t>EXAMPLE 2:- Soil sample of South Telangana shows like this</t>
  </si>
  <si>
    <t>N-Low,P-Medium and K- High</t>
  </si>
  <si>
    <t>For rabi Paddy normal Recommendation is - N-48,P-24, K-16</t>
  </si>
  <si>
    <t xml:space="preserve">As per soil test values Rabi Paddy required N is 48+16=64 kg,  P is 32 Kg and K is 16 minus one third that is 10.7 kg /acre </t>
  </si>
  <si>
    <t>How to go about recommendation for Rabi Paddy</t>
  </si>
  <si>
    <t xml:space="preserve">Step 1-  Calculate 60% of total recommended P for basal dose: 32x 60%   </t>
  </si>
  <si>
    <t>Step 2 - Calculate required N for basal dose: one third of total recommended N: 64x1/3</t>
  </si>
  <si>
    <t>Step-3-  If N and P basal dose nearly matching 1:1 ratio, then recommend 1:1 NPK complex fert like  28-28-0 and 20-20-0-13 grade.</t>
  </si>
  <si>
    <t>as per calc</t>
  </si>
  <si>
    <t>Act Qty Rec</t>
  </si>
  <si>
    <t>remarks</t>
  </si>
  <si>
    <t>28-28-0</t>
  </si>
  <si>
    <t>75 Kg</t>
  </si>
  <si>
    <t xml:space="preserve">P 10% more </t>
  </si>
  <si>
    <t>Step 4 : Now calculate balance P and recommend preferably 1:1 Complex fert</t>
  </si>
  <si>
    <t>1st top dressing (2nd dose)</t>
  </si>
  <si>
    <t>60 Kg</t>
  </si>
  <si>
    <t>match balnce N with Urea</t>
  </si>
  <si>
    <t>22.5 Kg</t>
  </si>
  <si>
    <t>2nd dose Total</t>
  </si>
  <si>
    <t>Step 5: Calculate balnce N and K and recommend in terms of Urea and MOP</t>
  </si>
  <si>
    <t>Balance for 3rd dose  recommend</t>
  </si>
  <si>
    <t>Act Qty Recommend</t>
  </si>
  <si>
    <t>3rd dose (2nd Top dressing or Panicle stage)</t>
  </si>
  <si>
    <t>one bag</t>
  </si>
  <si>
    <t>EXAMPLE 3:- Soil sample of South Telangana shows like this</t>
  </si>
  <si>
    <t>N-High,P-Low and K- Low</t>
  </si>
  <si>
    <t xml:space="preserve">As per soil test values Rabi Paddy required N is 48-16=32 kg,  P is 24+8= 32 Kg and K is 16+5=21 kg /acre </t>
  </si>
  <si>
    <t>Step 2 - Calculate required N for basal dose: one third of total recommended N: 32x1/3</t>
  </si>
  <si>
    <t>If high P and Low N, then high phosphate containing Fert like DAP(18-46-0) or 14-35-14</t>
  </si>
  <si>
    <t>14-35-14</t>
  </si>
  <si>
    <t>60% P - 19.2= 60 Kg</t>
  </si>
  <si>
    <t>4 Kg= 10 kg Urea</t>
  </si>
  <si>
    <t>10 kg</t>
  </si>
  <si>
    <t>If required match with Urea</t>
  </si>
  <si>
    <t>Till 2nd dose Total</t>
  </si>
  <si>
    <t>30 Kg</t>
  </si>
  <si>
    <t>25 Kg</t>
  </si>
  <si>
    <t>EXAMPLE 4:- Soil sample of South Telangana shows like this</t>
  </si>
  <si>
    <t xml:space="preserve">Step 1-  Calculate 100% of total recommended P for basal dose: 32 Kg   </t>
  </si>
  <si>
    <t>32 Kg</t>
  </si>
  <si>
    <t>90 Kg</t>
  </si>
  <si>
    <t>Step 4 : Since there is no balance P, then go for only N fert, Urea 1/3rd</t>
  </si>
  <si>
    <t xml:space="preserve"> with Urea</t>
  </si>
  <si>
    <t>(Half bag)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</si>
</sst>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b/>
      <sz val="10"/>
      <color indexed="12"/>
      <name val="Arial"/>
      <family val="2"/>
    </font>
    <font>
      <b/>
      <sz val="10"/>
      <color indexed="14"/>
      <name val="Arial"/>
      <family val="2"/>
    </font>
    <font>
      <b/>
      <sz val="10"/>
      <color indexed="10"/>
      <name val="Arial"/>
      <family val="2"/>
    </font>
    <font>
      <b/>
      <sz val="12"/>
      <color indexed="12"/>
      <name val="Arial"/>
      <family val="2"/>
    </font>
    <font>
      <b/>
      <sz val="12"/>
      <color indexed="14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0"/>
      <color indexed="10"/>
      <name val="Arial"/>
      <family val="2"/>
    </font>
    <font>
      <b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1" fillId="0" borderId="1" xfId="0" applyNumberFormat="1" applyFont="1" applyBorder="1"/>
    <xf numFmtId="0" fontId="2" fillId="0" borderId="2" xfId="0" applyFont="1" applyBorder="1"/>
    <xf numFmtId="1" fontId="3" fillId="0" borderId="2" xfId="0" applyNumberFormat="1" applyFont="1" applyBorder="1"/>
    <xf numFmtId="0" fontId="0" fillId="0" borderId="2" xfId="0" applyBorder="1"/>
    <xf numFmtId="1" fontId="4" fillId="0" borderId="2" xfId="0" applyNumberFormat="1" applyFont="1" applyBorder="1"/>
    <xf numFmtId="0" fontId="5" fillId="0" borderId="2" xfId="0" applyFont="1" applyBorder="1"/>
    <xf numFmtId="1" fontId="6" fillId="0" borderId="2" xfId="0" applyNumberFormat="1" applyFont="1" applyBorder="1"/>
    <xf numFmtId="0" fontId="7" fillId="0" borderId="2" xfId="0" applyFont="1" applyBorder="1"/>
    <xf numFmtId="0" fontId="0" fillId="0" borderId="3" xfId="0" applyBorder="1"/>
    <xf numFmtId="1" fontId="1" fillId="0" borderId="4" xfId="0" applyNumberFormat="1" applyFont="1" applyBorder="1"/>
    <xf numFmtId="0" fontId="2" fillId="0" borderId="0" xfId="0" applyFont="1" applyBorder="1"/>
    <xf numFmtId="1" fontId="3" fillId="0" borderId="0" xfId="0" applyNumberFormat="1" applyFont="1" applyBorder="1"/>
    <xf numFmtId="0" fontId="0" fillId="0" borderId="0" xfId="0" applyBorder="1"/>
    <xf numFmtId="1" fontId="4" fillId="0" borderId="0" xfId="0" applyNumberFormat="1" applyFont="1" applyBorder="1"/>
    <xf numFmtId="0" fontId="5" fillId="0" borderId="0" xfId="0" applyFont="1" applyBorder="1"/>
    <xf numFmtId="1" fontId="6" fillId="0" borderId="0" xfId="0" applyNumberFormat="1" applyFont="1" applyBorder="1"/>
    <xf numFmtId="0" fontId="7" fillId="0" borderId="0" xfId="0" applyFont="1" applyBorder="1"/>
    <xf numFmtId="0" fontId="0" fillId="0" borderId="5" xfId="0" applyBorder="1"/>
    <xf numFmtId="1" fontId="4" fillId="0" borderId="4" xfId="0" applyNumberFormat="1" applyFont="1" applyBorder="1"/>
    <xf numFmtId="1" fontId="3" fillId="0" borderId="4" xfId="0" applyNumberFormat="1" applyFont="1" applyBorder="1"/>
    <xf numFmtId="0" fontId="3" fillId="0" borderId="0" xfId="0" applyFont="1" applyBorder="1"/>
    <xf numFmtId="0" fontId="8" fillId="0" borderId="0" xfId="0" applyFont="1" applyBorder="1"/>
    <xf numFmtId="0" fontId="1" fillId="0" borderId="0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4" xfId="0" applyFont="1" applyBorder="1"/>
    <xf numFmtId="1" fontId="1" fillId="0" borderId="7" xfId="0" applyNumberFormat="1" applyFont="1" applyBorder="1"/>
    <xf numFmtId="0" fontId="2" fillId="0" borderId="8" xfId="0" applyFont="1" applyBorder="1"/>
    <xf numFmtId="1" fontId="3" fillId="0" borderId="8" xfId="0" applyNumberFormat="1" applyFont="1" applyBorder="1"/>
    <xf numFmtId="0" fontId="8" fillId="0" borderId="8" xfId="0" applyFont="1" applyBorder="1"/>
    <xf numFmtId="0" fontId="2" fillId="0" borderId="9" xfId="0" applyFont="1" applyBorder="1"/>
    <xf numFmtId="0" fontId="0" fillId="0" borderId="10" xfId="0" applyBorder="1"/>
    <xf numFmtId="0" fontId="3" fillId="0" borderId="4" xfId="0" applyFont="1" applyBorder="1"/>
    <xf numFmtId="0" fontId="3" fillId="0" borderId="5" xfId="0" applyFont="1" applyBorder="1"/>
    <xf numFmtId="1" fontId="3" fillId="0" borderId="0" xfId="0" applyNumberFormat="1" applyFont="1" applyFill="1" applyBorder="1"/>
    <xf numFmtId="0" fontId="9" fillId="0" borderId="0" xfId="0" applyFont="1" applyBorder="1"/>
    <xf numFmtId="0" fontId="10" fillId="0" borderId="0" xfId="0" applyFont="1" applyBorder="1"/>
    <xf numFmtId="0" fontId="10" fillId="0" borderId="5" xfId="0" applyFont="1" applyBorder="1"/>
    <xf numFmtId="2" fontId="0" fillId="0" borderId="0" xfId="0" applyNumberFormat="1" applyBorder="1"/>
    <xf numFmtId="0" fontId="8" fillId="2" borderId="6" xfId="0" applyFont="1" applyFill="1" applyBorder="1"/>
    <xf numFmtId="0" fontId="11" fillId="0" borderId="6" xfId="0" applyFont="1" applyBorder="1"/>
    <xf numFmtId="0" fontId="8" fillId="2" borderId="0" xfId="0" applyFont="1" applyFill="1" applyBorder="1"/>
    <xf numFmtId="0" fontId="1" fillId="2" borderId="0" xfId="0" applyFont="1" applyFill="1" applyBorder="1"/>
    <xf numFmtId="0" fontId="8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09"/>
  <sheetViews>
    <sheetView tabSelected="1" topLeftCell="A68" workbookViewId="0">
      <selection activeCell="N109" sqref="N109"/>
    </sheetView>
  </sheetViews>
  <sheetFormatPr defaultRowHeight="12.5" x14ac:dyDescent="0.25"/>
  <cols>
    <col min="9" max="9" width="24.36328125" bestFit="1" customWidth="1"/>
    <col min="13" max="13" width="15.54296875" customWidth="1"/>
    <col min="18" max="18" width="11.36328125" bestFit="1" customWidth="1"/>
  </cols>
  <sheetData>
    <row r="2" spans="1:18" ht="13" thickBot="1" x14ac:dyDescent="0.3"/>
    <row r="3" spans="1:18" ht="15.5" x14ac:dyDescent="0.35">
      <c r="A3" s="1" t="s">
        <v>0</v>
      </c>
      <c r="B3" s="2"/>
      <c r="C3" s="3"/>
      <c r="D3" s="4"/>
      <c r="E3" s="4"/>
      <c r="F3" s="4"/>
      <c r="G3" s="4"/>
      <c r="H3" s="4"/>
      <c r="I3" s="4"/>
      <c r="J3" s="5" t="s">
        <v>1</v>
      </c>
      <c r="K3" s="6"/>
      <c r="L3" s="7"/>
      <c r="M3" s="8"/>
      <c r="N3" s="8"/>
      <c r="O3" s="8"/>
      <c r="P3" s="4"/>
      <c r="Q3" s="4"/>
      <c r="R3" s="9"/>
    </row>
    <row r="4" spans="1:18" ht="15.5" x14ac:dyDescent="0.35">
      <c r="A4" s="10" t="s">
        <v>2</v>
      </c>
      <c r="B4" s="11"/>
      <c r="C4" s="12"/>
      <c r="D4" s="13"/>
      <c r="E4" s="13"/>
      <c r="F4" s="13"/>
      <c r="G4" s="13"/>
      <c r="H4" s="13"/>
      <c r="I4" s="13"/>
      <c r="J4" s="14"/>
      <c r="K4" s="15"/>
      <c r="L4" s="16"/>
      <c r="M4" s="17"/>
      <c r="N4" s="17"/>
      <c r="O4" s="17"/>
      <c r="P4" s="13"/>
      <c r="Q4" s="13"/>
      <c r="R4" s="18"/>
    </row>
    <row r="5" spans="1:18" ht="15.5" x14ac:dyDescent="0.35">
      <c r="A5" s="19" t="s">
        <v>3</v>
      </c>
      <c r="B5" s="15"/>
      <c r="C5" s="16"/>
      <c r="D5" s="17"/>
      <c r="E5" s="17"/>
      <c r="F5" s="17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8"/>
    </row>
    <row r="6" spans="1:18" ht="13" x14ac:dyDescent="0.3">
      <c r="A6" s="20"/>
      <c r="B6" s="21"/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8"/>
    </row>
    <row r="7" spans="1:18" ht="13" x14ac:dyDescent="0.3">
      <c r="A7" s="10" t="s">
        <v>4</v>
      </c>
      <c r="B7" s="11"/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8"/>
    </row>
    <row r="8" spans="1:18" ht="13" x14ac:dyDescent="0.3">
      <c r="A8" s="10"/>
      <c r="B8" s="11" t="s">
        <v>5</v>
      </c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8"/>
    </row>
    <row r="9" spans="1:18" ht="13" x14ac:dyDescent="0.3">
      <c r="A9" s="10"/>
      <c r="B9" s="11"/>
      <c r="C9" s="12"/>
      <c r="D9" s="22"/>
      <c r="E9" s="22"/>
      <c r="F9" s="22"/>
      <c r="G9" s="22"/>
      <c r="H9" s="22"/>
      <c r="I9" s="23" t="s">
        <v>6</v>
      </c>
      <c r="J9" s="23"/>
      <c r="K9" s="23"/>
      <c r="L9" s="23"/>
      <c r="M9" s="23"/>
      <c r="N9" s="23">
        <v>48</v>
      </c>
      <c r="O9" s="23">
        <v>32</v>
      </c>
      <c r="P9" s="23">
        <v>11</v>
      </c>
      <c r="Q9" s="23"/>
      <c r="R9" s="18"/>
    </row>
    <row r="10" spans="1:18" ht="13" x14ac:dyDescent="0.3">
      <c r="A10" s="10"/>
      <c r="B10" s="11"/>
      <c r="C10" s="12"/>
      <c r="D10" s="22"/>
      <c r="E10" s="22"/>
      <c r="F10" s="22"/>
      <c r="G10" s="22"/>
      <c r="H10" s="22"/>
      <c r="I10" s="13"/>
      <c r="J10" s="13"/>
      <c r="K10" s="13"/>
      <c r="L10" s="13"/>
      <c r="M10" s="22" t="s">
        <v>7</v>
      </c>
      <c r="N10" s="22"/>
      <c r="O10" s="22"/>
      <c r="P10" s="22"/>
      <c r="Q10" s="22"/>
      <c r="R10" s="24"/>
    </row>
    <row r="11" spans="1:18" ht="13" x14ac:dyDescent="0.3">
      <c r="A11" s="10" t="s">
        <v>8</v>
      </c>
      <c r="B11" s="11"/>
      <c r="C11" s="12" t="s">
        <v>9</v>
      </c>
      <c r="D11" s="22"/>
      <c r="E11" s="22"/>
      <c r="F11" s="22"/>
      <c r="G11" s="22"/>
      <c r="H11" s="22" t="s">
        <v>10</v>
      </c>
      <c r="I11" s="22"/>
      <c r="J11" s="22"/>
      <c r="K11" s="22" t="s">
        <v>11</v>
      </c>
      <c r="L11" s="22"/>
      <c r="M11" s="22"/>
      <c r="N11" s="25" t="s">
        <v>12</v>
      </c>
      <c r="O11" s="25" t="s">
        <v>13</v>
      </c>
      <c r="P11" s="25" t="s">
        <v>14</v>
      </c>
      <c r="Q11" s="25" t="s">
        <v>15</v>
      </c>
      <c r="R11" s="18"/>
    </row>
    <row r="12" spans="1:18" ht="13" x14ac:dyDescent="0.3">
      <c r="A12" s="10"/>
      <c r="B12" s="11"/>
      <c r="C12" s="12" t="s">
        <v>16</v>
      </c>
      <c r="D12" s="22"/>
      <c r="E12" s="22"/>
      <c r="F12" s="22"/>
      <c r="G12" s="22"/>
      <c r="H12" s="22" t="s">
        <v>17</v>
      </c>
      <c r="I12" s="22"/>
      <c r="J12" s="22"/>
      <c r="K12" s="22" t="s">
        <v>18</v>
      </c>
      <c r="L12" s="22"/>
      <c r="M12" s="22"/>
      <c r="N12" s="25">
        <v>9</v>
      </c>
      <c r="O12" s="25">
        <v>23</v>
      </c>
      <c r="P12" s="25">
        <v>0</v>
      </c>
      <c r="Q12" s="25"/>
      <c r="R12" s="18"/>
    </row>
    <row r="13" spans="1:18" ht="13" x14ac:dyDescent="0.3">
      <c r="A13" s="26"/>
      <c r="B13" s="22"/>
      <c r="C13" s="22"/>
      <c r="D13" s="22"/>
      <c r="E13" s="22"/>
      <c r="F13" s="22"/>
      <c r="G13" s="22"/>
      <c r="H13" s="22" t="s">
        <v>19</v>
      </c>
      <c r="I13" s="22"/>
      <c r="J13" s="22"/>
      <c r="K13" s="22" t="s">
        <v>20</v>
      </c>
      <c r="L13" s="22"/>
      <c r="M13" s="22"/>
      <c r="N13" s="25">
        <v>6.9</v>
      </c>
      <c r="O13" s="25"/>
      <c r="P13" s="25"/>
      <c r="Q13" s="25"/>
      <c r="R13" s="18"/>
    </row>
    <row r="14" spans="1:18" ht="13" x14ac:dyDescent="0.3">
      <c r="A14" s="26"/>
      <c r="B14" s="22"/>
      <c r="C14" s="22" t="s">
        <v>21</v>
      </c>
      <c r="D14" s="22"/>
      <c r="E14" s="22"/>
      <c r="F14" s="22"/>
      <c r="G14" s="22"/>
      <c r="H14" s="22" t="s">
        <v>22</v>
      </c>
      <c r="I14" s="22"/>
      <c r="J14" s="22"/>
      <c r="K14" s="22" t="s">
        <v>18</v>
      </c>
      <c r="L14" s="22"/>
      <c r="M14" s="22"/>
      <c r="N14" s="25">
        <v>10</v>
      </c>
      <c r="O14" s="25">
        <v>10</v>
      </c>
      <c r="P14" s="25">
        <v>0</v>
      </c>
      <c r="Q14" s="25">
        <v>6.5</v>
      </c>
      <c r="R14" s="18"/>
    </row>
    <row r="15" spans="1:18" ht="13" x14ac:dyDescent="0.3">
      <c r="A15" s="26"/>
      <c r="B15" s="22"/>
      <c r="C15" s="22"/>
      <c r="D15" s="22"/>
      <c r="E15" s="22"/>
      <c r="F15" s="22"/>
      <c r="G15" s="22"/>
      <c r="H15" s="22" t="s">
        <v>19</v>
      </c>
      <c r="I15" s="22"/>
      <c r="J15" s="22"/>
      <c r="K15" s="22" t="s">
        <v>23</v>
      </c>
      <c r="L15" s="22"/>
      <c r="M15" s="22"/>
      <c r="N15" s="22">
        <v>4.5999999999999996</v>
      </c>
      <c r="O15" s="22"/>
      <c r="P15" s="22"/>
      <c r="Q15" s="22"/>
      <c r="R15" s="18"/>
    </row>
    <row r="16" spans="1:18" ht="13" x14ac:dyDescent="0.3">
      <c r="A16" s="26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 t="s">
        <v>24</v>
      </c>
      <c r="M16" s="23"/>
      <c r="N16" s="23">
        <f>SUM(N12:N15)</f>
        <v>30.5</v>
      </c>
      <c r="O16" s="23">
        <f>SUM(O12:O15)</f>
        <v>33</v>
      </c>
      <c r="P16" s="23">
        <f>SUM(P12:P15)</f>
        <v>0</v>
      </c>
      <c r="Q16" s="23">
        <f>SUM(Q12:Q15)</f>
        <v>6.5</v>
      </c>
      <c r="R16" s="18"/>
    </row>
    <row r="17" spans="1:18" ht="13" x14ac:dyDescent="0.3">
      <c r="A17" s="26"/>
      <c r="B17" s="22"/>
      <c r="C17" s="13"/>
      <c r="D17" s="13"/>
      <c r="E17" s="13"/>
      <c r="F17" s="13"/>
      <c r="G17" s="13"/>
      <c r="H17" s="22"/>
      <c r="I17" s="22"/>
      <c r="J17" s="22"/>
      <c r="K17" s="21" t="s">
        <v>25</v>
      </c>
      <c r="L17" s="21"/>
      <c r="M17" s="21"/>
      <c r="N17" s="21">
        <f>N9-N16</f>
        <v>17.5</v>
      </c>
      <c r="O17" s="21">
        <f>O9-O16</f>
        <v>-1</v>
      </c>
      <c r="P17" s="21">
        <f>P9-P16</f>
        <v>11</v>
      </c>
      <c r="Q17" s="21"/>
      <c r="R17" s="18"/>
    </row>
    <row r="18" spans="1:18" ht="13" x14ac:dyDescent="0.3">
      <c r="A18" s="26"/>
      <c r="B18" s="22" t="s">
        <v>26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18"/>
    </row>
    <row r="19" spans="1:18" ht="13" x14ac:dyDescent="0.3">
      <c r="A19" s="26"/>
      <c r="B19" s="22"/>
      <c r="C19" s="22" t="s">
        <v>27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18"/>
    </row>
    <row r="20" spans="1:18" ht="13" x14ac:dyDescent="0.3">
      <c r="A20" s="26"/>
      <c r="B20" s="22"/>
      <c r="C20" s="22" t="s">
        <v>28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18"/>
    </row>
    <row r="21" spans="1:18" ht="13" x14ac:dyDescent="0.3">
      <c r="A21" s="26"/>
      <c r="B21" s="22"/>
      <c r="C21" s="22" t="s">
        <v>29</v>
      </c>
      <c r="D21" s="22"/>
      <c r="E21" s="22"/>
      <c r="F21" s="22"/>
      <c r="G21" s="22"/>
      <c r="H21" s="22" t="s">
        <v>19</v>
      </c>
      <c r="I21" s="22"/>
      <c r="J21" s="22"/>
      <c r="K21" s="22" t="s">
        <v>30</v>
      </c>
      <c r="L21" s="22"/>
      <c r="M21" s="22"/>
      <c r="N21" s="22">
        <v>20.7</v>
      </c>
      <c r="O21" s="22">
        <v>0</v>
      </c>
      <c r="P21" s="22">
        <v>0</v>
      </c>
      <c r="Q21" s="22">
        <v>0</v>
      </c>
      <c r="R21" s="18"/>
    </row>
    <row r="22" spans="1:18" ht="13" x14ac:dyDescent="0.3">
      <c r="A22" s="26"/>
      <c r="B22" s="22"/>
      <c r="C22" s="22"/>
      <c r="D22" s="22"/>
      <c r="E22" s="22"/>
      <c r="F22" s="22"/>
      <c r="G22" s="22"/>
      <c r="H22" s="22" t="s">
        <v>31</v>
      </c>
      <c r="I22" s="22"/>
      <c r="J22" s="22"/>
      <c r="K22" s="22" t="s">
        <v>32</v>
      </c>
      <c r="L22" s="22"/>
      <c r="M22" s="22"/>
      <c r="N22" s="22">
        <v>0</v>
      </c>
      <c r="O22" s="22">
        <v>0</v>
      </c>
      <c r="P22" s="22">
        <v>12</v>
      </c>
      <c r="Q22" s="22">
        <v>0</v>
      </c>
      <c r="R22" s="18"/>
    </row>
    <row r="23" spans="1:18" ht="13.5" thickBot="1" x14ac:dyDescent="0.35">
      <c r="A23" s="27"/>
      <c r="B23" s="28"/>
      <c r="C23" s="29"/>
      <c r="D23" s="30"/>
      <c r="E23" s="30"/>
      <c r="F23" s="30"/>
      <c r="G23" s="30"/>
      <c r="H23" s="30"/>
      <c r="I23" s="28" t="s">
        <v>33</v>
      </c>
      <c r="J23" s="28"/>
      <c r="K23" s="28"/>
      <c r="L23" s="28"/>
      <c r="M23" s="28"/>
      <c r="N23" s="31">
        <f>N16+N21+N22</f>
        <v>51.2</v>
      </c>
      <c r="O23" s="31">
        <f>O16+O21+O22</f>
        <v>33</v>
      </c>
      <c r="P23" s="31">
        <f>P16+P21+P22</f>
        <v>12</v>
      </c>
      <c r="Q23" s="31">
        <f>Q16+Q21+Q22</f>
        <v>6.5</v>
      </c>
      <c r="R23" s="32"/>
    </row>
    <row r="25" spans="1:18" ht="13" thickBot="1" x14ac:dyDescent="0.3"/>
    <row r="26" spans="1:18" ht="15.5" x14ac:dyDescent="0.35">
      <c r="A26" s="1" t="s">
        <v>34</v>
      </c>
      <c r="B26" s="2"/>
      <c r="C26" s="3"/>
      <c r="D26" s="4"/>
      <c r="E26" s="4"/>
      <c r="F26" s="4"/>
      <c r="G26" s="4"/>
      <c r="H26" s="4"/>
      <c r="I26" s="4"/>
      <c r="J26" s="5" t="s">
        <v>35</v>
      </c>
      <c r="K26" s="6"/>
      <c r="L26" s="7"/>
      <c r="M26" s="8"/>
      <c r="N26" s="8"/>
      <c r="O26" s="8"/>
      <c r="P26" s="4"/>
      <c r="Q26" s="4"/>
      <c r="R26" s="9"/>
    </row>
    <row r="27" spans="1:18" ht="15.5" x14ac:dyDescent="0.35">
      <c r="A27" s="10" t="s">
        <v>36</v>
      </c>
      <c r="B27" s="11"/>
      <c r="C27" s="12"/>
      <c r="D27" s="13"/>
      <c r="E27" s="13"/>
      <c r="F27" s="13"/>
      <c r="G27" s="13"/>
      <c r="H27" s="13"/>
      <c r="I27" s="13"/>
      <c r="J27" s="14"/>
      <c r="K27" s="15"/>
      <c r="L27" s="16"/>
      <c r="M27" s="17"/>
      <c r="N27" s="17"/>
      <c r="O27" s="17"/>
      <c r="P27" s="13"/>
      <c r="Q27" s="13"/>
      <c r="R27" s="18"/>
    </row>
    <row r="28" spans="1:18" ht="15.5" x14ac:dyDescent="0.35">
      <c r="A28" s="19" t="s">
        <v>37</v>
      </c>
      <c r="B28" s="15"/>
      <c r="C28" s="16"/>
      <c r="D28" s="17"/>
      <c r="E28" s="17"/>
      <c r="F28" s="17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8"/>
    </row>
    <row r="29" spans="1:18" ht="13" x14ac:dyDescent="0.3">
      <c r="A29" s="33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34"/>
    </row>
    <row r="30" spans="1:18" ht="15.5" x14ac:dyDescent="0.35">
      <c r="A30" s="33"/>
      <c r="B30" s="21"/>
      <c r="C30" s="35"/>
      <c r="D30" s="36"/>
      <c r="E30" s="36"/>
      <c r="F30" s="36"/>
      <c r="G30" s="36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8"/>
    </row>
    <row r="31" spans="1:18" ht="13" x14ac:dyDescent="0.3">
      <c r="A31" s="10" t="s">
        <v>38</v>
      </c>
      <c r="B31" s="11"/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8"/>
    </row>
    <row r="32" spans="1:18" ht="13" x14ac:dyDescent="0.3">
      <c r="A32" s="10" t="s">
        <v>39</v>
      </c>
      <c r="B32" s="11"/>
      <c r="C32" s="12"/>
      <c r="D32" s="13"/>
      <c r="E32" s="13"/>
      <c r="F32" s="13"/>
      <c r="G32" s="13"/>
      <c r="H32" s="13"/>
      <c r="I32" s="13">
        <f>32*60/100</f>
        <v>19.2</v>
      </c>
      <c r="J32" s="13"/>
      <c r="K32" s="13"/>
      <c r="L32" s="13"/>
      <c r="M32" s="13"/>
      <c r="N32" s="13"/>
      <c r="O32" s="13"/>
      <c r="P32" s="13"/>
      <c r="Q32" s="13"/>
      <c r="R32" s="18"/>
    </row>
    <row r="33" spans="1:18" ht="13" x14ac:dyDescent="0.3">
      <c r="A33" s="20" t="s">
        <v>40</v>
      </c>
      <c r="B33" s="21"/>
      <c r="C33" s="12"/>
      <c r="D33" s="13"/>
      <c r="E33" s="13"/>
      <c r="F33" s="13"/>
      <c r="G33" s="13"/>
      <c r="H33" s="13"/>
      <c r="I33" s="13"/>
      <c r="J33" s="39">
        <f>64*1/3</f>
        <v>21.333333333333332</v>
      </c>
      <c r="K33" s="13"/>
      <c r="L33" s="13"/>
      <c r="M33" s="13"/>
      <c r="N33" s="13"/>
      <c r="O33" s="13"/>
      <c r="P33" s="13"/>
      <c r="Q33" s="13"/>
      <c r="R33" s="18"/>
    </row>
    <row r="34" spans="1:18" ht="13" x14ac:dyDescent="0.3">
      <c r="A34" s="10" t="s">
        <v>41</v>
      </c>
      <c r="B34" s="11"/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8"/>
    </row>
    <row r="35" spans="1:18" ht="13" x14ac:dyDescent="0.3">
      <c r="A35" s="10"/>
      <c r="B35" s="11"/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8"/>
    </row>
    <row r="36" spans="1:18" ht="13" x14ac:dyDescent="0.3">
      <c r="A36" s="10"/>
      <c r="B36" s="11"/>
      <c r="C36" s="12"/>
      <c r="D36" s="22"/>
      <c r="E36" s="22"/>
      <c r="F36" s="22"/>
      <c r="G36" s="22"/>
      <c r="H36" s="22"/>
      <c r="I36" s="23" t="s">
        <v>6</v>
      </c>
      <c r="J36" s="23"/>
      <c r="K36" s="23"/>
      <c r="L36" s="23"/>
      <c r="M36" s="23"/>
      <c r="N36" s="23">
        <v>64</v>
      </c>
      <c r="O36" s="23">
        <v>32</v>
      </c>
      <c r="P36" s="23">
        <v>10.7</v>
      </c>
      <c r="Q36" s="23"/>
      <c r="R36" s="18"/>
    </row>
    <row r="37" spans="1:18" ht="13" x14ac:dyDescent="0.3">
      <c r="A37" s="10"/>
      <c r="B37" s="11"/>
      <c r="C37" s="12"/>
      <c r="D37" s="22"/>
      <c r="E37" s="22"/>
      <c r="F37" s="22"/>
      <c r="G37" s="22"/>
      <c r="H37" s="22"/>
      <c r="I37" s="13"/>
      <c r="J37" s="13"/>
      <c r="K37" s="13"/>
      <c r="L37" s="13"/>
      <c r="M37" s="22" t="s">
        <v>7</v>
      </c>
      <c r="N37" s="22"/>
      <c r="O37" s="22"/>
      <c r="P37" s="22"/>
      <c r="Q37" s="22"/>
      <c r="R37" s="24"/>
    </row>
    <row r="38" spans="1:18" ht="13" x14ac:dyDescent="0.3">
      <c r="A38" s="10"/>
      <c r="B38" s="11"/>
      <c r="C38" s="12" t="s">
        <v>9</v>
      </c>
      <c r="D38" s="22"/>
      <c r="E38" s="22"/>
      <c r="F38" s="22"/>
      <c r="G38" s="22"/>
      <c r="H38" s="22" t="s">
        <v>10</v>
      </c>
      <c r="I38" s="22" t="s">
        <v>42</v>
      </c>
      <c r="J38" s="22"/>
      <c r="K38" s="22" t="s">
        <v>43</v>
      </c>
      <c r="L38" s="22"/>
      <c r="M38" s="22"/>
      <c r="N38" s="25" t="s">
        <v>12</v>
      </c>
      <c r="O38" s="25" t="s">
        <v>13</v>
      </c>
      <c r="P38" s="25" t="s">
        <v>14</v>
      </c>
      <c r="Q38" s="25" t="s">
        <v>15</v>
      </c>
      <c r="R38" s="18" t="s">
        <v>44</v>
      </c>
    </row>
    <row r="39" spans="1:18" ht="13" x14ac:dyDescent="0.3">
      <c r="A39" s="10"/>
      <c r="B39" s="11"/>
      <c r="C39" s="12" t="s">
        <v>16</v>
      </c>
      <c r="D39" s="22"/>
      <c r="E39" s="22"/>
      <c r="F39" s="22"/>
      <c r="G39" s="22"/>
      <c r="H39" s="22" t="s">
        <v>45</v>
      </c>
      <c r="I39" s="22">
        <v>68.569999999999993</v>
      </c>
      <c r="J39" s="22"/>
      <c r="K39" s="22" t="s">
        <v>46</v>
      </c>
      <c r="L39" s="22"/>
      <c r="M39" s="22"/>
      <c r="N39" s="40">
        <v>21</v>
      </c>
      <c r="O39" s="40">
        <v>21</v>
      </c>
      <c r="P39" s="40">
        <v>0</v>
      </c>
      <c r="Q39" s="40"/>
      <c r="R39" s="18" t="s">
        <v>47</v>
      </c>
    </row>
    <row r="40" spans="1:18" ht="13" x14ac:dyDescent="0.3">
      <c r="A40" s="26" t="s">
        <v>48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5"/>
      <c r="O40" s="25"/>
      <c r="P40" s="25"/>
      <c r="Q40" s="25"/>
      <c r="R40" s="18"/>
    </row>
    <row r="41" spans="1:18" ht="13" x14ac:dyDescent="0.3">
      <c r="A41" s="26"/>
      <c r="B41" s="22"/>
      <c r="C41" s="22" t="s">
        <v>49</v>
      </c>
      <c r="D41" s="22"/>
      <c r="E41" s="22"/>
      <c r="F41" s="22"/>
      <c r="G41" s="22"/>
      <c r="H41" s="22" t="s">
        <v>22</v>
      </c>
      <c r="I41" s="22"/>
      <c r="J41" s="22"/>
      <c r="K41" s="22" t="s">
        <v>50</v>
      </c>
      <c r="L41" s="22"/>
      <c r="M41" s="22"/>
      <c r="N41" s="41">
        <v>12</v>
      </c>
      <c r="O41" s="41">
        <v>12</v>
      </c>
      <c r="P41" s="41">
        <v>0</v>
      </c>
      <c r="Q41" s="41">
        <f>60*13/100</f>
        <v>7.8</v>
      </c>
      <c r="R41" s="18"/>
    </row>
    <row r="42" spans="1:18" ht="13" x14ac:dyDescent="0.3">
      <c r="A42" s="26"/>
      <c r="B42" s="22"/>
      <c r="C42" s="22"/>
      <c r="D42" s="22"/>
      <c r="E42" s="22" t="s">
        <v>51</v>
      </c>
      <c r="F42" s="22"/>
      <c r="G42" s="22"/>
      <c r="H42" s="22" t="s">
        <v>19</v>
      </c>
      <c r="I42" s="22"/>
      <c r="J42" s="22"/>
      <c r="K42" s="22" t="s">
        <v>52</v>
      </c>
      <c r="L42" s="23"/>
      <c r="M42" s="23"/>
      <c r="N42" s="23">
        <f>0.46*22.5</f>
        <v>10.35</v>
      </c>
      <c r="O42" s="23"/>
      <c r="P42" s="23"/>
      <c r="Q42" s="23"/>
      <c r="R42" s="18"/>
    </row>
    <row r="43" spans="1:18" ht="13" x14ac:dyDescent="0.3">
      <c r="A43" s="26"/>
      <c r="B43" s="22"/>
      <c r="C43" s="22"/>
      <c r="D43" s="22"/>
      <c r="E43" s="22"/>
      <c r="F43" s="22"/>
      <c r="G43" s="22"/>
      <c r="H43" s="22"/>
      <c r="I43" s="22"/>
      <c r="J43" s="22"/>
      <c r="K43" s="42" t="s">
        <v>53</v>
      </c>
      <c r="L43" s="43"/>
      <c r="M43" s="43"/>
      <c r="N43" s="43">
        <f>SUM(N41:N42)</f>
        <v>22.35</v>
      </c>
      <c r="O43" s="43">
        <f>SUM(O41:O42)</f>
        <v>12</v>
      </c>
      <c r="P43" s="43">
        <f>SUM(P41:P42)</f>
        <v>0</v>
      </c>
      <c r="Q43" s="43">
        <f>SUM(Q41:Q42)</f>
        <v>7.8</v>
      </c>
      <c r="R43" s="18"/>
    </row>
    <row r="44" spans="1:18" ht="13" x14ac:dyDescent="0.3">
      <c r="A44" s="26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3"/>
      <c r="N44" s="23"/>
      <c r="O44" s="23"/>
      <c r="P44" s="23"/>
      <c r="Q44" s="23"/>
      <c r="R44" s="18"/>
    </row>
    <row r="45" spans="1:18" ht="13" x14ac:dyDescent="0.3">
      <c r="A45" s="26" t="s">
        <v>54</v>
      </c>
      <c r="B45" s="22"/>
      <c r="C45" s="13"/>
      <c r="D45" s="13"/>
      <c r="E45" s="13"/>
      <c r="F45" s="13"/>
      <c r="G45" s="13"/>
      <c r="H45" s="22"/>
      <c r="I45" s="22"/>
      <c r="J45" s="22"/>
      <c r="K45" s="21" t="s">
        <v>55</v>
      </c>
      <c r="L45" s="21"/>
      <c r="M45" s="21"/>
      <c r="N45" s="21">
        <f>64-N39-N43</f>
        <v>20.65</v>
      </c>
      <c r="O45" s="21">
        <f>32-O39-O43</f>
        <v>-1</v>
      </c>
      <c r="P45" s="21">
        <v>10.7</v>
      </c>
      <c r="Q45" s="21"/>
      <c r="R45" s="18"/>
    </row>
    <row r="46" spans="1:18" ht="13" x14ac:dyDescent="0.3">
      <c r="A46" s="26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18"/>
    </row>
    <row r="47" spans="1:18" ht="13" x14ac:dyDescent="0.3">
      <c r="A47" s="26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18"/>
    </row>
    <row r="48" spans="1:18" ht="13" x14ac:dyDescent="0.3">
      <c r="A48" s="26"/>
      <c r="B48" s="22"/>
      <c r="C48" s="22"/>
      <c r="D48" s="22"/>
      <c r="E48" s="22"/>
      <c r="F48" s="22"/>
      <c r="G48" s="22"/>
      <c r="H48" s="22"/>
      <c r="I48" s="22" t="s">
        <v>42</v>
      </c>
      <c r="J48" s="22"/>
      <c r="K48" s="22" t="s">
        <v>56</v>
      </c>
      <c r="L48" s="22"/>
      <c r="M48" s="22"/>
      <c r="N48" s="22"/>
      <c r="O48" s="22"/>
      <c r="P48" s="22"/>
      <c r="Q48" s="22"/>
      <c r="R48" s="18"/>
    </row>
    <row r="49" spans="1:18" ht="13" x14ac:dyDescent="0.3">
      <c r="A49" s="26"/>
      <c r="B49" s="22"/>
      <c r="C49" s="22" t="s">
        <v>57</v>
      </c>
      <c r="D49" s="22"/>
      <c r="E49" s="22"/>
      <c r="F49" s="22"/>
      <c r="G49" s="22"/>
      <c r="H49" s="22" t="s">
        <v>19</v>
      </c>
      <c r="I49" s="22">
        <v>44.8</v>
      </c>
      <c r="J49" s="22"/>
      <c r="K49" s="22" t="s">
        <v>30</v>
      </c>
      <c r="L49" s="22" t="s">
        <v>58</v>
      </c>
      <c r="M49" s="22"/>
      <c r="N49" s="22">
        <f>45*0.46</f>
        <v>20.7</v>
      </c>
      <c r="O49" s="22">
        <v>0</v>
      </c>
      <c r="P49" s="22">
        <v>0</v>
      </c>
      <c r="Q49" s="22">
        <v>0</v>
      </c>
      <c r="R49" s="18"/>
    </row>
    <row r="50" spans="1:18" ht="13" x14ac:dyDescent="0.3">
      <c r="A50" s="26"/>
      <c r="B50" s="22"/>
      <c r="C50" s="22"/>
      <c r="D50" s="22"/>
      <c r="E50" s="22"/>
      <c r="F50" s="22"/>
      <c r="G50" s="22"/>
      <c r="H50" s="22" t="s">
        <v>31</v>
      </c>
      <c r="I50" s="22">
        <v>17.829999999999998</v>
      </c>
      <c r="J50" s="22"/>
      <c r="K50" s="22" t="s">
        <v>32</v>
      </c>
      <c r="L50" s="22"/>
      <c r="M50" s="22"/>
      <c r="N50" s="22">
        <v>0</v>
      </c>
      <c r="O50" s="22">
        <v>0</v>
      </c>
      <c r="P50" s="22">
        <v>12</v>
      </c>
      <c r="Q50" s="22">
        <v>0</v>
      </c>
      <c r="R50" s="18"/>
    </row>
    <row r="51" spans="1:18" ht="13.5" thickBot="1" x14ac:dyDescent="0.35">
      <c r="A51" s="27"/>
      <c r="B51" s="28"/>
      <c r="C51" s="29"/>
      <c r="D51" s="30"/>
      <c r="E51" s="30"/>
      <c r="F51" s="30"/>
      <c r="G51" s="30"/>
      <c r="H51" s="30"/>
      <c r="I51" s="28" t="s">
        <v>33</v>
      </c>
      <c r="J51" s="28"/>
      <c r="K51" s="28"/>
      <c r="L51" s="28"/>
      <c r="M51" s="28"/>
      <c r="N51" s="31">
        <f>N39+N43+N49</f>
        <v>64.05</v>
      </c>
      <c r="O51" s="31">
        <f>O39+O43+O49</f>
        <v>33</v>
      </c>
      <c r="P51" s="31">
        <f>P39+P43+P49+P50</f>
        <v>12</v>
      </c>
      <c r="Q51" s="31">
        <f>Q39+Q43+Q49</f>
        <v>7.8</v>
      </c>
      <c r="R51" s="32"/>
    </row>
    <row r="53" spans="1:18" ht="13" thickBot="1" x14ac:dyDescent="0.3"/>
    <row r="54" spans="1:18" ht="15.5" x14ac:dyDescent="0.35">
      <c r="A54" s="1" t="s">
        <v>59</v>
      </c>
      <c r="B54" s="2"/>
      <c r="C54" s="3"/>
      <c r="D54" s="4"/>
      <c r="E54" s="4"/>
      <c r="F54" s="4"/>
      <c r="G54" s="4"/>
      <c r="H54" s="4"/>
      <c r="I54" s="4"/>
      <c r="J54" s="5" t="s">
        <v>60</v>
      </c>
      <c r="K54" s="6"/>
      <c r="L54" s="7"/>
      <c r="M54" s="8"/>
      <c r="N54" s="8"/>
      <c r="O54" s="8"/>
      <c r="P54" s="4"/>
      <c r="Q54" s="4"/>
      <c r="R54" s="9"/>
    </row>
    <row r="55" spans="1:18" ht="15.5" x14ac:dyDescent="0.35">
      <c r="A55" s="10" t="s">
        <v>36</v>
      </c>
      <c r="B55" s="11"/>
      <c r="C55" s="12"/>
      <c r="D55" s="13"/>
      <c r="E55" s="13"/>
      <c r="F55" s="13"/>
      <c r="G55" s="13"/>
      <c r="H55" s="13"/>
      <c r="I55" s="13"/>
      <c r="J55" s="14"/>
      <c r="K55" s="15"/>
      <c r="L55" s="16"/>
      <c r="M55" s="17"/>
      <c r="N55" s="17"/>
      <c r="O55" s="17"/>
      <c r="P55" s="13"/>
      <c r="Q55" s="13"/>
      <c r="R55" s="18"/>
    </row>
    <row r="56" spans="1:18" ht="15.5" x14ac:dyDescent="0.35">
      <c r="A56" s="19" t="s">
        <v>61</v>
      </c>
      <c r="B56" s="15"/>
      <c r="C56" s="16"/>
      <c r="D56" s="17"/>
      <c r="E56" s="17"/>
      <c r="F56" s="17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8"/>
    </row>
    <row r="57" spans="1:18" ht="13" x14ac:dyDescent="0.3">
      <c r="A57" s="33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34"/>
    </row>
    <row r="58" spans="1:18" ht="15.5" x14ac:dyDescent="0.35">
      <c r="A58" s="33"/>
      <c r="B58" s="21"/>
      <c r="C58" s="35"/>
      <c r="D58" s="36"/>
      <c r="E58" s="36"/>
      <c r="F58" s="36"/>
      <c r="G58" s="36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8"/>
    </row>
    <row r="59" spans="1:18" ht="13" x14ac:dyDescent="0.3">
      <c r="A59" s="10" t="s">
        <v>38</v>
      </c>
      <c r="B59" s="11"/>
      <c r="C59" s="12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8"/>
    </row>
    <row r="60" spans="1:18" ht="13" x14ac:dyDescent="0.3">
      <c r="A60" s="10" t="s">
        <v>39</v>
      </c>
      <c r="B60" s="11"/>
      <c r="C60" s="12"/>
      <c r="D60" s="13"/>
      <c r="E60" s="13"/>
      <c r="F60" s="13"/>
      <c r="G60" s="13"/>
      <c r="H60" s="13"/>
      <c r="I60" s="13">
        <f>32*60/100</f>
        <v>19.2</v>
      </c>
      <c r="J60" s="13"/>
      <c r="K60" s="13"/>
      <c r="L60" s="13"/>
      <c r="M60" s="13"/>
      <c r="N60" s="13"/>
      <c r="O60" s="13"/>
      <c r="P60" s="13"/>
      <c r="Q60" s="13"/>
      <c r="R60" s="18"/>
    </row>
    <row r="61" spans="1:18" ht="13" x14ac:dyDescent="0.3">
      <c r="A61" s="20" t="s">
        <v>62</v>
      </c>
      <c r="B61" s="21"/>
      <c r="C61" s="12"/>
      <c r="D61" s="13"/>
      <c r="E61" s="13"/>
      <c r="F61" s="13"/>
      <c r="G61" s="13"/>
      <c r="H61" s="13"/>
      <c r="I61" s="13"/>
      <c r="J61" s="39">
        <f>32*1/3</f>
        <v>10.666666666666666</v>
      </c>
      <c r="K61" s="13"/>
      <c r="L61" s="13"/>
      <c r="M61" s="13"/>
      <c r="N61" s="13"/>
      <c r="O61" s="13"/>
      <c r="P61" s="13"/>
      <c r="Q61" s="13"/>
      <c r="R61" s="18"/>
    </row>
    <row r="62" spans="1:18" ht="13" x14ac:dyDescent="0.3">
      <c r="A62" s="10" t="s">
        <v>41</v>
      </c>
      <c r="B62" s="11"/>
      <c r="C62" s="12"/>
      <c r="D62" s="13"/>
      <c r="E62" s="13"/>
      <c r="F62" s="13"/>
      <c r="G62" s="13"/>
      <c r="H62" s="13"/>
      <c r="I62" s="13"/>
      <c r="J62" s="13"/>
      <c r="K62" s="13"/>
      <c r="L62" s="13" t="s">
        <v>63</v>
      </c>
      <c r="M62" s="13"/>
      <c r="N62" s="13"/>
      <c r="O62" s="13"/>
      <c r="P62" s="13"/>
      <c r="Q62" s="13"/>
      <c r="R62" s="18"/>
    </row>
    <row r="63" spans="1:18" ht="13" x14ac:dyDescent="0.3">
      <c r="A63" s="10"/>
      <c r="B63" s="11"/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8"/>
    </row>
    <row r="64" spans="1:18" ht="13" x14ac:dyDescent="0.3">
      <c r="A64" s="10"/>
      <c r="B64" s="11"/>
      <c r="C64" s="12"/>
      <c r="D64" s="22"/>
      <c r="E64" s="22"/>
      <c r="F64" s="22"/>
      <c r="G64" s="22"/>
      <c r="H64" s="22"/>
      <c r="I64" s="23" t="s">
        <v>6</v>
      </c>
      <c r="J64" s="23"/>
      <c r="K64" s="23"/>
      <c r="L64" s="23"/>
      <c r="M64" s="23"/>
      <c r="N64" s="23">
        <v>32</v>
      </c>
      <c r="O64" s="23">
        <v>32</v>
      </c>
      <c r="P64" s="23">
        <v>21</v>
      </c>
      <c r="Q64" s="23"/>
      <c r="R64" s="18"/>
    </row>
    <row r="65" spans="1:18" ht="13" x14ac:dyDescent="0.3">
      <c r="A65" s="10"/>
      <c r="B65" s="11"/>
      <c r="C65" s="12"/>
      <c r="D65" s="22"/>
      <c r="E65" s="22"/>
      <c r="F65" s="22"/>
      <c r="G65" s="22"/>
      <c r="H65" s="22"/>
      <c r="I65" s="13"/>
      <c r="J65" s="13"/>
      <c r="K65" s="13"/>
      <c r="L65" s="13"/>
      <c r="M65" s="22" t="s">
        <v>7</v>
      </c>
      <c r="N65" s="22"/>
      <c r="O65" s="22"/>
      <c r="P65" s="22"/>
      <c r="Q65" s="22"/>
      <c r="R65" s="24"/>
    </row>
    <row r="66" spans="1:18" ht="13" x14ac:dyDescent="0.3">
      <c r="A66" s="10"/>
      <c r="B66" s="11"/>
      <c r="C66" s="12" t="s">
        <v>9</v>
      </c>
      <c r="D66" s="22"/>
      <c r="E66" s="22"/>
      <c r="F66" s="22"/>
      <c r="G66" s="22"/>
      <c r="H66" s="22" t="s">
        <v>10</v>
      </c>
      <c r="I66" s="22" t="s">
        <v>42</v>
      </c>
      <c r="J66" s="22"/>
      <c r="K66" s="22" t="s">
        <v>43</v>
      </c>
      <c r="L66" s="22"/>
      <c r="M66" s="22"/>
      <c r="N66" s="25" t="s">
        <v>12</v>
      </c>
      <c r="O66" s="25" t="s">
        <v>13</v>
      </c>
      <c r="P66" s="25" t="s">
        <v>14</v>
      </c>
      <c r="Q66" s="25" t="s">
        <v>15</v>
      </c>
      <c r="R66" s="18" t="s">
        <v>44</v>
      </c>
    </row>
    <row r="67" spans="1:18" ht="13" x14ac:dyDescent="0.3">
      <c r="A67" s="10"/>
      <c r="B67" s="11"/>
      <c r="C67" s="12" t="s">
        <v>16</v>
      </c>
      <c r="D67" s="22"/>
      <c r="E67" s="22"/>
      <c r="F67" s="22"/>
      <c r="G67" s="22"/>
      <c r="H67" s="22" t="s">
        <v>64</v>
      </c>
      <c r="I67" s="22" t="s">
        <v>65</v>
      </c>
      <c r="J67" s="22"/>
      <c r="K67" s="22" t="s">
        <v>50</v>
      </c>
      <c r="L67" s="22"/>
      <c r="M67" s="22"/>
      <c r="N67" s="40">
        <v>8.4</v>
      </c>
      <c r="O67" s="40">
        <v>21</v>
      </c>
      <c r="P67" s="40">
        <v>8.4</v>
      </c>
      <c r="Q67" s="40"/>
      <c r="R67" s="18" t="s">
        <v>47</v>
      </c>
    </row>
    <row r="68" spans="1:18" ht="13" x14ac:dyDescent="0.3">
      <c r="A68" s="10"/>
      <c r="B68" s="11"/>
      <c r="C68" s="12"/>
      <c r="D68" s="22"/>
      <c r="E68" s="22"/>
      <c r="F68" s="22"/>
      <c r="G68" s="22"/>
      <c r="H68" s="22" t="s">
        <v>19</v>
      </c>
      <c r="I68" s="22" t="s">
        <v>66</v>
      </c>
      <c r="J68" s="22"/>
      <c r="K68" s="22" t="s">
        <v>67</v>
      </c>
      <c r="L68" s="22"/>
      <c r="M68" s="22"/>
      <c r="N68" s="40"/>
      <c r="O68" s="40"/>
      <c r="P68" s="40"/>
      <c r="Q68" s="40"/>
      <c r="R68" s="18"/>
    </row>
    <row r="69" spans="1:18" ht="13" x14ac:dyDescent="0.3">
      <c r="A69" s="26" t="s">
        <v>48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5"/>
      <c r="O69" s="25"/>
      <c r="P69" s="25"/>
      <c r="Q69" s="25"/>
      <c r="R69" s="18"/>
    </row>
    <row r="70" spans="1:18" ht="13" x14ac:dyDescent="0.3">
      <c r="A70" s="26"/>
      <c r="B70" s="22"/>
      <c r="C70" s="22" t="s">
        <v>49</v>
      </c>
      <c r="D70" s="22"/>
      <c r="E70" s="22"/>
      <c r="F70" s="22"/>
      <c r="G70" s="22"/>
      <c r="H70" s="22" t="s">
        <v>22</v>
      </c>
      <c r="I70" s="22">
        <f>O64-O67</f>
        <v>11</v>
      </c>
      <c r="J70" s="22"/>
      <c r="K70" s="22" t="s">
        <v>18</v>
      </c>
      <c r="L70" s="22"/>
      <c r="M70" s="22"/>
      <c r="N70" s="41">
        <v>10</v>
      </c>
      <c r="O70" s="41">
        <v>10</v>
      </c>
      <c r="P70" s="41">
        <v>0</v>
      </c>
      <c r="Q70" s="41">
        <v>9.75</v>
      </c>
      <c r="R70" s="18"/>
    </row>
    <row r="71" spans="1:18" ht="13" x14ac:dyDescent="0.3">
      <c r="A71" s="26"/>
      <c r="B71" s="22"/>
      <c r="C71" s="22"/>
      <c r="D71" s="44" t="s">
        <v>68</v>
      </c>
      <c r="E71" s="44"/>
      <c r="F71" s="44"/>
      <c r="G71" s="44"/>
      <c r="H71" s="22" t="s">
        <v>19</v>
      </c>
      <c r="I71" s="22"/>
      <c r="J71" s="22"/>
      <c r="K71" s="22">
        <v>0</v>
      </c>
      <c r="L71" s="23"/>
      <c r="M71" s="23"/>
      <c r="N71" s="23"/>
      <c r="O71" s="23"/>
      <c r="P71" s="23"/>
      <c r="Q71" s="23"/>
      <c r="R71" s="18"/>
    </row>
    <row r="72" spans="1:18" ht="13" x14ac:dyDescent="0.3">
      <c r="A72" s="26"/>
      <c r="B72" s="22"/>
      <c r="C72" s="22"/>
      <c r="D72" s="22"/>
      <c r="E72" s="22"/>
      <c r="F72" s="22"/>
      <c r="G72" s="22"/>
      <c r="H72" s="22"/>
      <c r="I72" s="22"/>
      <c r="J72" s="22"/>
      <c r="K72" s="42" t="s">
        <v>69</v>
      </c>
      <c r="L72" s="43"/>
      <c r="M72" s="43"/>
      <c r="N72" s="43">
        <f>SUM(N67:N71)</f>
        <v>18.399999999999999</v>
      </c>
      <c r="O72" s="43">
        <f>SUM(O67:O71)</f>
        <v>31</v>
      </c>
      <c r="P72" s="43">
        <f>SUM(P67:P71)</f>
        <v>8.4</v>
      </c>
      <c r="Q72" s="43">
        <f>SUM(Q67:Q71)</f>
        <v>9.75</v>
      </c>
      <c r="R72" s="18"/>
    </row>
    <row r="73" spans="1:18" ht="13" x14ac:dyDescent="0.3">
      <c r="A73" s="26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3"/>
      <c r="N73" s="23"/>
      <c r="O73" s="23"/>
      <c r="P73" s="23"/>
      <c r="Q73" s="23"/>
      <c r="R73" s="18"/>
    </row>
    <row r="74" spans="1:18" ht="13" x14ac:dyDescent="0.3">
      <c r="A74" s="26" t="s">
        <v>54</v>
      </c>
      <c r="B74" s="22"/>
      <c r="C74" s="13"/>
      <c r="D74" s="13"/>
      <c r="E74" s="13"/>
      <c r="F74" s="13"/>
      <c r="G74" s="13"/>
      <c r="H74" s="22"/>
      <c r="I74" s="22"/>
      <c r="J74" s="22"/>
      <c r="K74" s="21" t="s">
        <v>55</v>
      </c>
      <c r="L74" s="21"/>
      <c r="M74" s="21"/>
      <c r="N74" s="21">
        <f>N64-N72</f>
        <v>13.600000000000001</v>
      </c>
      <c r="O74" s="21">
        <f>O64-O72</f>
        <v>1</v>
      </c>
      <c r="P74" s="21">
        <f>P64-P72</f>
        <v>12.6</v>
      </c>
      <c r="Q74" s="21"/>
      <c r="R74" s="18"/>
    </row>
    <row r="75" spans="1:18" ht="13" x14ac:dyDescent="0.3">
      <c r="A75" s="26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18"/>
    </row>
    <row r="76" spans="1:18" ht="13" x14ac:dyDescent="0.3">
      <c r="A76" s="26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18"/>
    </row>
    <row r="77" spans="1:18" ht="13" x14ac:dyDescent="0.3">
      <c r="A77" s="26"/>
      <c r="B77" s="22"/>
      <c r="C77" s="22"/>
      <c r="D77" s="22"/>
      <c r="E77" s="22"/>
      <c r="F77" s="22"/>
      <c r="G77" s="22"/>
      <c r="H77" s="22"/>
      <c r="I77" s="22" t="s">
        <v>42</v>
      </c>
      <c r="J77" s="22"/>
      <c r="K77" s="22" t="s">
        <v>56</v>
      </c>
      <c r="L77" s="22"/>
      <c r="M77" s="22"/>
      <c r="N77" s="22"/>
      <c r="O77" s="22"/>
      <c r="P77" s="22"/>
      <c r="Q77" s="22"/>
      <c r="R77" s="18"/>
    </row>
    <row r="78" spans="1:18" ht="13" x14ac:dyDescent="0.3">
      <c r="A78" s="26"/>
      <c r="B78" s="22"/>
      <c r="C78" s="22" t="s">
        <v>57</v>
      </c>
      <c r="D78" s="22"/>
      <c r="E78" s="22"/>
      <c r="F78" s="22"/>
      <c r="G78" s="22"/>
      <c r="H78" s="22" t="s">
        <v>19</v>
      </c>
      <c r="I78" s="22">
        <f>2.17*N74</f>
        <v>29.512</v>
      </c>
      <c r="J78" s="22"/>
      <c r="K78" s="22" t="s">
        <v>70</v>
      </c>
      <c r="L78" s="22"/>
      <c r="M78" s="22"/>
      <c r="N78" s="22">
        <v>13.8</v>
      </c>
      <c r="O78" s="22">
        <v>0</v>
      </c>
      <c r="P78" s="22">
        <v>0</v>
      </c>
      <c r="Q78" s="22">
        <v>0</v>
      </c>
      <c r="R78" s="18"/>
    </row>
    <row r="79" spans="1:18" ht="13" x14ac:dyDescent="0.3">
      <c r="A79" s="26"/>
      <c r="B79" s="22"/>
      <c r="C79" s="22"/>
      <c r="D79" s="22"/>
      <c r="E79" s="22"/>
      <c r="F79" s="22"/>
      <c r="G79" s="22"/>
      <c r="H79" s="22" t="s">
        <v>31</v>
      </c>
      <c r="I79" s="22">
        <v>14</v>
      </c>
      <c r="J79" s="22"/>
      <c r="K79" s="22" t="s">
        <v>71</v>
      </c>
      <c r="L79" s="22"/>
      <c r="M79" s="22"/>
      <c r="N79" s="22">
        <v>0</v>
      </c>
      <c r="O79" s="22">
        <v>0</v>
      </c>
      <c r="P79" s="22">
        <v>15</v>
      </c>
      <c r="Q79" s="22">
        <v>0</v>
      </c>
      <c r="R79" s="18"/>
    </row>
    <row r="80" spans="1:18" ht="13.5" thickBot="1" x14ac:dyDescent="0.35">
      <c r="A80" s="27"/>
      <c r="B80" s="28"/>
      <c r="C80" s="29"/>
      <c r="D80" s="30"/>
      <c r="E80" s="30"/>
      <c r="F80" s="30"/>
      <c r="G80" s="30"/>
      <c r="H80" s="30"/>
      <c r="I80" s="28" t="s">
        <v>33</v>
      </c>
      <c r="J80" s="28"/>
      <c r="K80" s="28"/>
      <c r="L80" s="28"/>
      <c r="M80" s="28"/>
      <c r="N80" s="31">
        <f>N72+N78+N79</f>
        <v>32.200000000000003</v>
      </c>
      <c r="O80" s="31">
        <f>O72+O78+O79</f>
        <v>31</v>
      </c>
      <c r="P80" s="31">
        <f>P72+P78+P79</f>
        <v>23.4</v>
      </c>
      <c r="Q80" s="31">
        <f>Q72+Q78+Q79</f>
        <v>9.75</v>
      </c>
      <c r="R80" s="32"/>
    </row>
    <row r="82" spans="1:18" ht="13" thickBot="1" x14ac:dyDescent="0.3"/>
    <row r="83" spans="1:18" ht="15.5" x14ac:dyDescent="0.35">
      <c r="A83" s="1" t="s">
        <v>72</v>
      </c>
      <c r="B83" s="2"/>
      <c r="C83" s="3"/>
      <c r="D83" s="4"/>
      <c r="E83" s="4"/>
      <c r="F83" s="4"/>
      <c r="G83" s="4"/>
      <c r="H83" s="4"/>
      <c r="I83" s="4"/>
      <c r="J83" s="5" t="s">
        <v>60</v>
      </c>
      <c r="K83" s="6"/>
      <c r="L83" s="7"/>
      <c r="M83" s="8"/>
      <c r="N83" s="8"/>
      <c r="O83" s="8"/>
      <c r="P83" s="4"/>
      <c r="Q83" s="4"/>
      <c r="R83" s="9"/>
    </row>
    <row r="84" spans="1:18" ht="15.5" x14ac:dyDescent="0.35">
      <c r="A84" s="10" t="s">
        <v>36</v>
      </c>
      <c r="B84" s="11"/>
      <c r="C84" s="12"/>
      <c r="D84" s="13"/>
      <c r="E84" s="13"/>
      <c r="F84" s="13"/>
      <c r="G84" s="13"/>
      <c r="H84" s="13"/>
      <c r="I84" s="13"/>
      <c r="J84" s="14"/>
      <c r="K84" s="15"/>
      <c r="L84" s="16"/>
      <c r="M84" s="17"/>
      <c r="N84" s="17"/>
      <c r="O84" s="17"/>
      <c r="P84" s="13"/>
      <c r="Q84" s="13"/>
      <c r="R84" s="18"/>
    </row>
    <row r="85" spans="1:18" ht="15.5" x14ac:dyDescent="0.35">
      <c r="A85" s="19" t="s">
        <v>61</v>
      </c>
      <c r="B85" s="15"/>
      <c r="C85" s="16"/>
      <c r="D85" s="17"/>
      <c r="E85" s="17"/>
      <c r="F85" s="17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8"/>
    </row>
    <row r="86" spans="1:18" ht="13" x14ac:dyDescent="0.3">
      <c r="A86" s="33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34"/>
    </row>
    <row r="87" spans="1:18" ht="15.5" x14ac:dyDescent="0.35">
      <c r="A87" s="33"/>
      <c r="B87" s="21"/>
      <c r="C87" s="35"/>
      <c r="D87" s="36"/>
      <c r="E87" s="36"/>
      <c r="F87" s="36"/>
      <c r="G87" s="36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8"/>
    </row>
    <row r="88" spans="1:18" ht="13" x14ac:dyDescent="0.3">
      <c r="A88" s="10" t="s">
        <v>38</v>
      </c>
      <c r="B88" s="11"/>
      <c r="C88" s="1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8"/>
    </row>
    <row r="89" spans="1:18" ht="13" x14ac:dyDescent="0.3">
      <c r="A89" s="10" t="s">
        <v>73</v>
      </c>
      <c r="B89" s="11"/>
      <c r="C89" s="12"/>
      <c r="D89" s="13"/>
      <c r="E89" s="13"/>
      <c r="F89" s="13"/>
      <c r="G89" s="13"/>
      <c r="H89" s="13"/>
      <c r="I89" s="13">
        <v>32</v>
      </c>
      <c r="J89" s="13"/>
      <c r="K89" s="13"/>
      <c r="L89" s="13"/>
      <c r="M89" s="13"/>
      <c r="N89" s="13"/>
      <c r="O89" s="13"/>
      <c r="P89" s="13"/>
      <c r="Q89" s="13"/>
      <c r="R89" s="18"/>
    </row>
    <row r="90" spans="1:18" ht="13" x14ac:dyDescent="0.3">
      <c r="A90" s="20" t="s">
        <v>62</v>
      </c>
      <c r="B90" s="21"/>
      <c r="C90" s="12"/>
      <c r="D90" s="13"/>
      <c r="E90" s="13"/>
      <c r="F90" s="13"/>
      <c r="G90" s="13"/>
      <c r="H90" s="13"/>
      <c r="I90" s="13"/>
      <c r="J90" s="39">
        <f>32*1/3</f>
        <v>10.666666666666666</v>
      </c>
      <c r="K90" s="13"/>
      <c r="L90" s="13"/>
      <c r="M90" s="13"/>
      <c r="N90" s="13"/>
      <c r="O90" s="13"/>
      <c r="P90" s="13"/>
      <c r="Q90" s="13"/>
      <c r="R90" s="18"/>
    </row>
    <row r="91" spans="1:18" ht="13" x14ac:dyDescent="0.3">
      <c r="A91" s="10" t="s">
        <v>41</v>
      </c>
      <c r="B91" s="11"/>
      <c r="C91" s="12"/>
      <c r="D91" s="13"/>
      <c r="E91" s="13"/>
      <c r="F91" s="13"/>
      <c r="G91" s="13"/>
      <c r="H91" s="13"/>
      <c r="I91" s="13"/>
      <c r="J91" s="13"/>
      <c r="K91" s="13"/>
      <c r="L91" s="13" t="s">
        <v>63</v>
      </c>
      <c r="M91" s="13"/>
      <c r="N91" s="13"/>
      <c r="O91" s="13"/>
      <c r="P91" s="13"/>
      <c r="Q91" s="13"/>
      <c r="R91" s="18"/>
    </row>
    <row r="92" spans="1:18" ht="13" x14ac:dyDescent="0.3">
      <c r="A92" s="10"/>
      <c r="B92" s="11"/>
      <c r="C92" s="12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8"/>
    </row>
    <row r="93" spans="1:18" ht="13" x14ac:dyDescent="0.3">
      <c r="A93" s="10"/>
      <c r="B93" s="11"/>
      <c r="C93" s="12"/>
      <c r="D93" s="22"/>
      <c r="E93" s="22"/>
      <c r="F93" s="22"/>
      <c r="G93" s="22"/>
      <c r="H93" s="22"/>
      <c r="I93" s="23" t="s">
        <v>6</v>
      </c>
      <c r="J93" s="23"/>
      <c r="K93" s="23"/>
      <c r="L93" s="23"/>
      <c r="M93" s="23"/>
      <c r="N93" s="23">
        <v>32</v>
      </c>
      <c r="O93" s="23">
        <v>32</v>
      </c>
      <c r="P93" s="23">
        <v>21</v>
      </c>
      <c r="Q93" s="23"/>
      <c r="R93" s="18"/>
    </row>
    <row r="94" spans="1:18" ht="13" x14ac:dyDescent="0.3">
      <c r="A94" s="10"/>
      <c r="B94" s="11"/>
      <c r="C94" s="12"/>
      <c r="D94" s="22"/>
      <c r="E94" s="22"/>
      <c r="F94" s="22"/>
      <c r="G94" s="22"/>
      <c r="H94" s="22"/>
      <c r="I94" s="13"/>
      <c r="J94" s="13"/>
      <c r="K94" s="13"/>
      <c r="L94" s="13"/>
      <c r="M94" s="22" t="s">
        <v>7</v>
      </c>
      <c r="N94" s="22"/>
      <c r="O94" s="22"/>
      <c r="P94" s="22"/>
      <c r="Q94" s="22"/>
      <c r="R94" s="24"/>
    </row>
    <row r="95" spans="1:18" ht="13" x14ac:dyDescent="0.3">
      <c r="A95" s="10"/>
      <c r="B95" s="11"/>
      <c r="C95" s="12" t="s">
        <v>9</v>
      </c>
      <c r="D95" s="22"/>
      <c r="E95" s="22"/>
      <c r="F95" s="22"/>
      <c r="G95" s="22"/>
      <c r="H95" s="22" t="s">
        <v>10</v>
      </c>
      <c r="I95" s="22" t="s">
        <v>42</v>
      </c>
      <c r="J95" s="22"/>
      <c r="K95" s="22" t="s">
        <v>43</v>
      </c>
      <c r="L95" s="22"/>
      <c r="M95" s="22"/>
      <c r="N95" s="25" t="s">
        <v>12</v>
      </c>
      <c r="O95" s="25" t="s">
        <v>13</v>
      </c>
      <c r="P95" s="25" t="s">
        <v>14</v>
      </c>
      <c r="Q95" s="25" t="s">
        <v>15</v>
      </c>
      <c r="R95" s="18" t="s">
        <v>44</v>
      </c>
    </row>
    <row r="96" spans="1:18" ht="13" x14ac:dyDescent="0.3">
      <c r="A96" s="10"/>
      <c r="B96" s="11"/>
      <c r="C96" s="12" t="s">
        <v>16</v>
      </c>
      <c r="D96" s="22"/>
      <c r="E96" s="22"/>
      <c r="F96" s="22"/>
      <c r="G96" s="22"/>
      <c r="H96" s="22" t="s">
        <v>64</v>
      </c>
      <c r="I96" s="22" t="s">
        <v>74</v>
      </c>
      <c r="J96" s="22"/>
      <c r="K96" s="22" t="s">
        <v>75</v>
      </c>
      <c r="L96" s="22"/>
      <c r="M96" s="22"/>
      <c r="N96" s="40">
        <v>12.6</v>
      </c>
      <c r="O96" s="40">
        <v>31.5</v>
      </c>
      <c r="P96" s="40">
        <v>12.6</v>
      </c>
      <c r="Q96" s="40"/>
      <c r="R96" s="18" t="s">
        <v>47</v>
      </c>
    </row>
    <row r="97" spans="1:18" ht="13" x14ac:dyDescent="0.3">
      <c r="A97" s="10"/>
      <c r="B97" s="11"/>
      <c r="C97" s="12"/>
      <c r="D97" s="22"/>
      <c r="E97" s="22"/>
      <c r="F97" s="22"/>
      <c r="G97" s="22"/>
      <c r="H97" s="22" t="s">
        <v>19</v>
      </c>
      <c r="I97" s="22" t="s">
        <v>66</v>
      </c>
      <c r="J97" s="22"/>
      <c r="K97" s="22" t="s">
        <v>67</v>
      </c>
      <c r="L97" s="22"/>
      <c r="M97" s="22"/>
      <c r="N97" s="40"/>
      <c r="O97" s="40"/>
      <c r="P97" s="40"/>
      <c r="Q97" s="40"/>
      <c r="R97" s="18"/>
    </row>
    <row r="98" spans="1:18" ht="13" x14ac:dyDescent="0.3">
      <c r="A98" s="26" t="s">
        <v>76</v>
      </c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5"/>
      <c r="O98" s="25"/>
      <c r="P98" s="25"/>
      <c r="Q98" s="25"/>
      <c r="R98" s="18"/>
    </row>
    <row r="99" spans="1:18" ht="13" x14ac:dyDescent="0.3">
      <c r="A99" s="26"/>
      <c r="B99" s="22"/>
      <c r="C99" s="22" t="s">
        <v>49</v>
      </c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41"/>
      <c r="O99" s="41"/>
      <c r="P99" s="41"/>
      <c r="Q99" s="41"/>
      <c r="R99" s="18"/>
    </row>
    <row r="100" spans="1:18" ht="13" x14ac:dyDescent="0.3">
      <c r="A100" s="26"/>
      <c r="B100" s="22"/>
      <c r="C100" s="22"/>
      <c r="D100" s="44" t="s">
        <v>77</v>
      </c>
      <c r="E100" s="44"/>
      <c r="F100" s="44"/>
      <c r="G100" s="44"/>
      <c r="H100" s="22" t="s">
        <v>19</v>
      </c>
      <c r="I100" s="22">
        <v>10.67</v>
      </c>
      <c r="J100" s="22"/>
      <c r="K100" s="22" t="s">
        <v>52</v>
      </c>
      <c r="L100" s="23" t="s">
        <v>78</v>
      </c>
      <c r="M100" s="23"/>
      <c r="N100" s="23">
        <v>10.35</v>
      </c>
      <c r="O100" s="23"/>
      <c r="P100" s="23"/>
      <c r="Q100" s="23"/>
      <c r="R100" s="18"/>
    </row>
    <row r="101" spans="1:18" ht="13" x14ac:dyDescent="0.3">
      <c r="A101" s="26"/>
      <c r="B101" s="22"/>
      <c r="C101" s="22"/>
      <c r="D101" s="22"/>
      <c r="E101" s="22"/>
      <c r="F101" s="22"/>
      <c r="G101" s="22"/>
      <c r="H101" s="22"/>
      <c r="I101" s="22"/>
      <c r="J101" s="22"/>
      <c r="K101" s="42" t="s">
        <v>69</v>
      </c>
      <c r="L101" s="43"/>
      <c r="M101" s="43"/>
      <c r="N101" s="43">
        <f>SUM(N96:N100)</f>
        <v>22.95</v>
      </c>
      <c r="O101" s="43">
        <f>SUM(O96:O100)</f>
        <v>31.5</v>
      </c>
      <c r="P101" s="43">
        <f>SUM(P96:P100)</f>
        <v>12.6</v>
      </c>
      <c r="Q101" s="43">
        <f>SUM(Q96:Q100)</f>
        <v>0</v>
      </c>
      <c r="R101" s="18"/>
    </row>
    <row r="102" spans="1:18" ht="13" x14ac:dyDescent="0.3">
      <c r="A102" s="26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3"/>
      <c r="N102" s="23"/>
      <c r="O102" s="23"/>
      <c r="P102" s="23"/>
      <c r="Q102" s="23"/>
      <c r="R102" s="18"/>
    </row>
    <row r="103" spans="1:18" ht="13" x14ac:dyDescent="0.3">
      <c r="A103" s="26" t="s">
        <v>54</v>
      </c>
      <c r="B103" s="22"/>
      <c r="C103" s="13"/>
      <c r="D103" s="13"/>
      <c r="E103" s="13"/>
      <c r="F103" s="13"/>
      <c r="G103" s="13"/>
      <c r="H103" s="22"/>
      <c r="I103" s="22"/>
      <c r="J103" s="22"/>
      <c r="K103" s="21" t="s">
        <v>55</v>
      </c>
      <c r="L103" s="21"/>
      <c r="M103" s="21"/>
      <c r="N103" s="21">
        <f>N93-N101</f>
        <v>9.0500000000000007</v>
      </c>
      <c r="O103" s="21">
        <f>O93-O101</f>
        <v>0.5</v>
      </c>
      <c r="P103" s="21">
        <f>P93-P101</f>
        <v>8.4</v>
      </c>
      <c r="Q103" s="21"/>
      <c r="R103" s="18"/>
    </row>
    <row r="104" spans="1:18" ht="13" x14ac:dyDescent="0.3">
      <c r="A104" s="26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18"/>
    </row>
    <row r="105" spans="1:18" ht="13" x14ac:dyDescent="0.3">
      <c r="A105" s="26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18"/>
    </row>
    <row r="106" spans="1:18" ht="13" x14ac:dyDescent="0.3">
      <c r="A106" s="26"/>
      <c r="B106" s="22"/>
      <c r="C106" s="22"/>
      <c r="D106" s="22"/>
      <c r="E106" s="22"/>
      <c r="F106" s="22"/>
      <c r="G106" s="22"/>
      <c r="H106" s="22"/>
      <c r="I106" s="22" t="s">
        <v>42</v>
      </c>
      <c r="J106" s="22"/>
      <c r="K106" s="22" t="s">
        <v>56</v>
      </c>
      <c r="L106" s="22"/>
      <c r="M106" s="22"/>
      <c r="N106" s="22"/>
      <c r="O106" s="22"/>
      <c r="P106" s="22"/>
      <c r="Q106" s="22"/>
      <c r="R106" s="18"/>
    </row>
    <row r="107" spans="1:18" ht="13" x14ac:dyDescent="0.3">
      <c r="A107" s="26"/>
      <c r="B107" s="22"/>
      <c r="C107" s="22" t="s">
        <v>57</v>
      </c>
      <c r="D107" s="22"/>
      <c r="E107" s="22"/>
      <c r="F107" s="22"/>
      <c r="G107" s="22"/>
      <c r="H107" s="22" t="s">
        <v>19</v>
      </c>
      <c r="I107" s="22">
        <f>N103</f>
        <v>9.0500000000000007</v>
      </c>
      <c r="J107" s="22"/>
      <c r="K107" s="22" t="s">
        <v>52</v>
      </c>
      <c r="L107" s="22"/>
      <c r="M107" s="22"/>
      <c r="N107" s="22">
        <v>10.35</v>
      </c>
      <c r="O107" s="22">
        <v>0</v>
      </c>
      <c r="P107" s="22">
        <v>0</v>
      </c>
      <c r="Q107" s="22">
        <v>0</v>
      </c>
      <c r="R107" s="18"/>
    </row>
    <row r="108" spans="1:18" ht="13" x14ac:dyDescent="0.3">
      <c r="A108" s="26"/>
      <c r="B108" s="22"/>
      <c r="C108" s="22"/>
      <c r="D108" s="22"/>
      <c r="E108" s="22"/>
      <c r="F108" s="22"/>
      <c r="G108" s="22"/>
      <c r="H108" s="22" t="s">
        <v>31</v>
      </c>
      <c r="I108" s="22">
        <f>P93-P101</f>
        <v>8.4</v>
      </c>
      <c r="J108" s="22"/>
      <c r="K108" s="22" t="s">
        <v>20</v>
      </c>
      <c r="L108" s="22"/>
      <c r="M108" s="22"/>
      <c r="N108" s="22">
        <v>0</v>
      </c>
      <c r="O108" s="22">
        <v>0</v>
      </c>
      <c r="P108" s="22">
        <v>9</v>
      </c>
      <c r="Q108" s="22">
        <v>0</v>
      </c>
      <c r="R108" s="18"/>
    </row>
    <row r="109" spans="1:18" ht="13.5" thickBot="1" x14ac:dyDescent="0.35">
      <c r="A109" s="27"/>
      <c r="B109" s="28"/>
      <c r="C109" s="29"/>
      <c r="D109" s="30"/>
      <c r="E109" s="30"/>
      <c r="F109" s="30"/>
      <c r="G109" s="30"/>
      <c r="H109" s="30"/>
      <c r="I109" s="28" t="s">
        <v>33</v>
      </c>
      <c r="J109" s="28"/>
      <c r="K109" s="28"/>
      <c r="L109" s="28"/>
      <c r="M109" s="28"/>
      <c r="N109" s="31">
        <f>N101+N107+N108</f>
        <v>33.299999999999997</v>
      </c>
      <c r="O109" s="31">
        <f>O101+O107+O108</f>
        <v>31.5</v>
      </c>
      <c r="P109" s="31">
        <f>P101+P107+P108</f>
        <v>21.6</v>
      </c>
      <c r="Q109" s="31">
        <f>Q101+Q107+Q108</f>
        <v>0</v>
      </c>
      <c r="R109" s="32"/>
    </row>
  </sheetData>
  <mergeCells count="2">
    <mergeCell ref="D71:G71"/>
    <mergeCell ref="D100:G10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2026-02-22T15:20:40Z</dcterms:created>
  <dcterms:modified xsi:type="dcterms:W3CDTF">2026-02-22T15:21:10Z</dcterms:modified>
</cp:coreProperties>
</file>